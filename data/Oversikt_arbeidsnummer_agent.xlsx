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ssbno-my.sharepoint.com/personal/ibi_ssb_no/Documents/Skrivebord/Timeføring/Agent/"/>
    </mc:Choice>
  </mc:AlternateContent>
  <xr:revisionPtr revIDLastSave="10" documentId="8_{B13029BD-FE2B-428F-9509-BC9D0A2C9844}" xr6:coauthVersionLast="47" xr6:coauthVersionMax="47" xr10:uidLastSave="{C8FFACA8-ABFC-4D37-82FE-A0B879FA0D33}"/>
  <bookViews>
    <workbookView xWindow="2340" yWindow="2340" windowWidth="21600" windowHeight="12525" tabRatio="658" firstSheet="2" activeTab="2" xr2:uid="{00000000-000D-0000-FFFF-FFFF00000000}"/>
  </bookViews>
  <sheets>
    <sheet name="Arbeidsordre S811" sheetId="6" state="hidden" r:id="rId1"/>
    <sheet name="Statistikk" sheetId="8" state="hidden" r:id="rId2"/>
    <sheet name="Arbeidsordre"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tc={DFE3BB63-1DDE-4F1D-8774-168EDED44052}</author>
  </authors>
  <commentList>
    <comment ref="A47" authorId="0" shapeId="0" xr:uid="{DFE3BB63-1DDE-4F1D-8774-168EDED44052}">
      <text>
        <t>[Kommentartråd]
Din versjon av Excel lar deg lese denne kommentartråden. Eventuelle endringer i den vil imidlertid bli fjernet hvis filen åpnes i en nyere versjon av Excel. Finn ut mer: https://go.microsoft.com/fwlink/?linkid=870924
Kommentar:
    Lagt inn de jeg har brukt. Splitt på annet sikkerhetsarbeid har ikke blitt brukt så langt, men kan bli aktuelt da vi nå splitter fysisk og personellsikkerhet fra IN.
Fant for øvrig en gammel tabell fra 2019 med arbeidsordrenr her
https://ssbno.sharepoint.com/sites/Virksomhetsstyring/SitePages/Produktregister.aspx?web=1</t>
      </text>
    </comment>
  </commentList>
</comments>
</file>

<file path=xl/sharedStrings.xml><?xml version="1.0" encoding="utf-8"?>
<sst xmlns="http://schemas.openxmlformats.org/spreadsheetml/2006/main" count="339" uniqueCount="207">
  <si>
    <t>Produktnummer</t>
  </si>
  <si>
    <t>Produktnavn</t>
  </si>
  <si>
    <t>Arbeidsordre nr</t>
  </si>
  <si>
    <t>Arbeidsordre navn</t>
  </si>
  <si>
    <t>Beskrivelse</t>
  </si>
  <si>
    <t>Statistiske metoder</t>
  </si>
  <si>
    <t>Metoder i økonomisk statistikk</t>
  </si>
  <si>
    <t>Arbeid med utvikling av metoder innenfor økonomisk statistikk på SSB, herunder kompetanseutvikling både i og utenfor seksjonen.</t>
  </si>
  <si>
    <t>Surveymetodikk</t>
  </si>
  <si>
    <t>Arbeid med utvikling av metoder innenfor surveymetodikk. Brukes for arbeid med publiseringer og annet arbeid som er tverrgående og ikke sorterer under et enkelt metodeområde.</t>
  </si>
  <si>
    <t>Publisering og formidling</t>
  </si>
  <si>
    <t>Publisering av artikler, notater eller andre formidlingsaktiviteter (f.eks. foredrag ), som ikke har  en annen arbeidsordre.</t>
  </si>
  <si>
    <t>Editeringsløsninger</t>
  </si>
  <si>
    <t>Arbeid med editeringsløsninger utover de enkelte statistikkproduktene, herunder arbeid knyttet til modernisering og metodearkitektur.</t>
  </si>
  <si>
    <t>Kombinasjon av data og registermetoder</t>
  </si>
  <si>
    <t>Arbeid med  metodikk innenfor kombinasjon av data og registermetoder utover  de enkelte statistikkproduktene.</t>
  </si>
  <si>
    <t>Utvalg, estimering og analyse</t>
  </si>
  <si>
    <t>Arbeid med metodeområdene utvalg, estimering og analyse utover de enkelte statistikkproduktene.</t>
  </si>
  <si>
    <t>Måleinstrumentutvikling</t>
  </si>
  <si>
    <t xml:space="preserve">Arbeid med utvikling og drift av måleinstrumenter for alle datakilder, herunder arbeid med prosesserdata og nettverk for datafangst. </t>
  </si>
  <si>
    <t>Metodekompetanse</t>
  </si>
  <si>
    <t xml:space="preserve">Utviklingsprogram metodekompetanse i ssb, </t>
  </si>
  <si>
    <t>Arbeid med å videreutvikle metodekompetansen i SSB, både strategisk og operativt.  Omfatter også å planlegge og holde kurs for andre i ssb (og eksternt)</t>
  </si>
  <si>
    <t>Metodeseksjonens  seminarer</t>
  </si>
  <si>
    <t xml:space="preserve">Deltakelse på metodseksjonens egen seminarer. </t>
  </si>
  <si>
    <t>SSB Skole</t>
  </si>
  <si>
    <t>Arbeid med utvikling av kurs- og formidlingsopplegg i statistiske metoder for SSB Skole. Omfatter målgruppene elever og lærere på ungdomsskole og videregående skoles nivå.</t>
  </si>
  <si>
    <t>Nye kilder, statistikkdesign og metoder</t>
  </si>
  <si>
    <t>Arbeid med å ta i bruk nye datakilder, herunder metoder for design, analyse og formidling.</t>
  </si>
  <si>
    <t>Metodeutvikling nye datakilder</t>
  </si>
  <si>
    <t xml:space="preserve">Nummer som kan brukes til ulikt type arbeid som går på metodeutvikling for nye datakilder: Grønn boks, maskinlæring osv. </t>
  </si>
  <si>
    <t>Koordineringsarbeid nye kilder</t>
  </si>
  <si>
    <t>Team nye kilder og annet arbeid rettet mot felles initiativ for å hente inn, bearbeide og utnytte nye datakilder.</t>
  </si>
  <si>
    <t>Sentral koordinering av kvalitetsarbeid</t>
  </si>
  <si>
    <t>Arbeid med tverrgående koordinering av SSBs kvalitetsarbeid, herunder arbeid med metoder, indikatorer, retningslinjer, krav, kompetanseutvikling mv. Overordnet ansvar for virksomhetsmodell.</t>
  </si>
  <si>
    <t>Kvalitetsgjennomgang internt</t>
  </si>
  <si>
    <t>Arbeid med å planlegge, gjennomføre og dokumentere interne kvalitetsgjennomganger.</t>
  </si>
  <si>
    <t>Kvalitetsevaluering og rapportering</t>
  </si>
  <si>
    <t>Arbeid med å samle inn data til kvalitetsevaluering, og skrive kvalitetsrapport for offisiell statistikk</t>
  </si>
  <si>
    <t>Metodenettverket</t>
  </si>
  <si>
    <t>Arbeid med å drive metodenettverket for Utvalget for offisiell statistikk</t>
  </si>
  <si>
    <t>Kvalitetsgjennomgang eksternt</t>
  </si>
  <si>
    <t>Arbeid med å planlegge, gjennomføre og dokumentere eksterne kvalitetsgjennomganger</t>
  </si>
  <si>
    <t>Eksternt kvalitetsarbeid offisiell statistikk</t>
  </si>
  <si>
    <t>Arbeid rettet mot utvalget for offisiell statistikk utover kvalitetsevalueringen og arbeidet med årlig rapport til finans.</t>
  </si>
  <si>
    <t>Referansemetadata</t>
  </si>
  <si>
    <t>Utredning av mulighetene for etablering av en database for referansemetadata. Om utredningen ender i en anbefaling og vedtak om etablering, dekker arbeidsordren også utviklings og implementering.</t>
  </si>
  <si>
    <t>Big Insight</t>
  </si>
  <si>
    <t>Arbeid med Big Insight partnerskapet, både faglig og administrativt.</t>
  </si>
  <si>
    <t>Sesongjustering, tidsserier og indekser</t>
  </si>
  <si>
    <t>Arbeid med utvikling av metoder for sesongjustering og tidsserier, herunder nettverksaktiviteter.</t>
  </si>
  <si>
    <t>Prinsipper og metoder konfidensialitet</t>
  </si>
  <si>
    <t xml:space="preserve">Arbeid med utvikling av prinsipper og metoder for konfidensialtet. </t>
  </si>
  <si>
    <t>Kartlegging konfidensialitet</t>
  </si>
  <si>
    <t>Arbeid med kartleggingen av konfidensialitet i SSB. Påbegynt 2021, fortsetter 2022.</t>
  </si>
  <si>
    <t>Statistiske verktøy</t>
  </si>
  <si>
    <t>Systemansvar R</t>
  </si>
  <si>
    <t>Arbeid knyttet til å være systemansvarlig for R, herunder støtte og bistand til andre seksjoner. Kompetansetiltak i R føres også her.</t>
  </si>
  <si>
    <t>Metodebibliotek</t>
  </si>
  <si>
    <t>Utvikling av metodebibliotek</t>
  </si>
  <si>
    <t>Utviklingsarbeid i Seksjon for metoder</t>
  </si>
  <si>
    <t>Utviklingsarbeid bærekraft</t>
  </si>
  <si>
    <t>Produkt for utviklingsarbeid. Hvert prosjekt får sin ordre.</t>
  </si>
  <si>
    <t>Samarbeid med akademia, veiledning og undervisning</t>
  </si>
  <si>
    <t>Veiledning av master og doktorgradsstudenter, annet rekrutteringsarbeid mot akademia, korte og lange undervisningsoppdrag.</t>
  </si>
  <si>
    <t>Utarbeiding av søknader om forskning og/eller utvikling</t>
  </si>
  <si>
    <t>Arbeid med å lage søknader om midler eller deltakelse i programmer, nasjonalt og internasjonalt. Omfatter EU-grants dersom vi er hovedansvarlig for å søke.</t>
  </si>
  <si>
    <t>Metodestøtte for Dapla</t>
  </si>
  <si>
    <t>Diverse arbeid knyttet til utvikling av Dapla og flytting av statistikker, som ikke har annen arbeidsordre</t>
  </si>
  <si>
    <t>Studentstillinger</t>
  </si>
  <si>
    <t>Arbeid gjort gjennom studentstillinger.</t>
  </si>
  <si>
    <t>EU-grant Smart Survey</t>
  </si>
  <si>
    <t>Arbeid med EU-grant Smart Survey; faglig, administrativt og reiser</t>
  </si>
  <si>
    <t>IPA2017-Turkstat</t>
  </si>
  <si>
    <t>Metodebistand til det Tyrkiske statistikkbyrået for utvalgsdesing og vekting i husholdninger</t>
  </si>
  <si>
    <t>Taksonomi bærekraftig utvikling - oppdr</t>
  </si>
  <si>
    <t>Oppdrag for KS</t>
  </si>
  <si>
    <t>Seksjon</t>
  </si>
  <si>
    <t>Antall oppgaver</t>
  </si>
  <si>
    <t xml:space="preserve">     [,1]</t>
  </si>
  <si>
    <t xml:space="preserve"> [1,]  111</t>
  </si>
  <si>
    <t xml:space="preserve"> [2,]  120</t>
  </si>
  <si>
    <t xml:space="preserve"> [3,]  150</t>
  </si>
  <si>
    <t xml:space="preserve"> [4,]  210</t>
  </si>
  <si>
    <t xml:space="preserve"> [5,]  211</t>
  </si>
  <si>
    <t xml:space="preserve"> [6,]  212</t>
  </si>
  <si>
    <t xml:space="preserve"> [7,]  214</t>
  </si>
  <si>
    <t xml:space="preserve"> [8,]  216</t>
  </si>
  <si>
    <t xml:space="preserve"> [9,]  240</t>
  </si>
  <si>
    <t>[10,]  312</t>
  </si>
  <si>
    <t>[11,]  320</t>
  </si>
  <si>
    <t>[12,]  330</t>
  </si>
  <si>
    <t>[13,]  350</t>
  </si>
  <si>
    <t>[14,]  360</t>
  </si>
  <si>
    <t>[15,]  380</t>
  </si>
  <si>
    <t>[16,]  400</t>
  </si>
  <si>
    <t>[17,]  421</t>
  </si>
  <si>
    <t>[18,]  422</t>
  </si>
  <si>
    <t>[19,]  423</t>
  </si>
  <si>
    <t>[20,]  424</t>
  </si>
  <si>
    <t>[21,]  425</t>
  </si>
  <si>
    <t>[22,]  426</t>
  </si>
  <si>
    <t>[23,]  510</t>
  </si>
  <si>
    <t>[24,]  700</t>
  </si>
  <si>
    <t>[25,]  703</t>
  </si>
  <si>
    <t>[26,]  811</t>
  </si>
  <si>
    <t>[27,]  821</t>
  </si>
  <si>
    <t>[28,]  851</t>
  </si>
  <si>
    <t>Paradata</t>
  </si>
  <si>
    <t>Arbeid med utivkling av løsninger for og analyse av paradata.</t>
  </si>
  <si>
    <t>Arbeid rettet mot utvalget for offisiell statistikk utover kvalitetsevalueringen og arbeidet med årlig rapport til finans. Metodenettverket.</t>
  </si>
  <si>
    <t>Håndbok sesongjustering</t>
  </si>
  <si>
    <t>Utarbeide håndbok for sesongjustering i SSB.</t>
  </si>
  <si>
    <t>EU-SILC energi og miljø grant 2024-2025</t>
  </si>
  <si>
    <t>Forskning, og utarbeiding av søknader om forskning og/eller utvikling</t>
  </si>
  <si>
    <t>Arbeid med å lage søknader om midler eller deltakelse i programmer, nasjonalt og internasjonalt. Omfatter EU-grants dersom vi er hovedansvarlig for å søke. Forskningsarbeid som ikke har noen annen "naturlig plass" kan også føres på dette nummeret.</t>
  </si>
  <si>
    <t>Arbeidsgruppe om barnerespondenter</t>
  </si>
  <si>
    <t>Intern arbeidsgruppe med fokus på barnerspondenter</t>
  </si>
  <si>
    <t>Team KI</t>
  </si>
  <si>
    <t>Tverrfaglig KI-team, utvikling av interne chatbotter osv.</t>
  </si>
  <si>
    <t>ESS-SSI 2023-25</t>
  </si>
  <si>
    <t>Grant, Trusted smart stat</t>
  </si>
  <si>
    <t>Standardutvalget</t>
  </si>
  <si>
    <t>Standardutvalget-sekretariatet</t>
  </si>
  <si>
    <t>Standardutvalget-utvalgets arbeid</t>
  </si>
  <si>
    <t>2022-IT-TSS-METH-TOO</t>
  </si>
  <si>
    <t>Grant, MNO</t>
  </si>
  <si>
    <t>Grant Trusted smart stat, SMP-ESS-2022-TSS-METH-TOOLS-H7-6283-IBA, WP3, Technical infrastructure</t>
  </si>
  <si>
    <t>AIML4OS-grant. One-Stop-Shop</t>
  </si>
  <si>
    <t>2029301 </t>
  </si>
  <si>
    <t>Grant, AIML4OS, wp 3</t>
  </si>
  <si>
    <t>Grant AIML, SMP-ESS-2023-AI-ML4OS-IBA</t>
  </si>
  <si>
    <t>Grant, AIML4OS, wp 8</t>
  </si>
  <si>
    <t>Grant AIML, SMP-ESS-2023-AI-ML4OS-IBA, WP8, Editing</t>
  </si>
  <si>
    <t>Grant, AIML4OS, wp 10</t>
  </si>
  <si>
    <t>Grant AIML, SMP-ESS-2023-AI-ML4OS-IBA, WP10, Classification and coding</t>
  </si>
  <si>
    <t>Grant, AIML4OS, wp 12</t>
  </si>
  <si>
    <t>Grant AIML, SMP-ESS-2023-AI-ML4OS-IBA, WP12, LLM</t>
  </si>
  <si>
    <t>Veiledningstjeneste</t>
  </si>
  <si>
    <t>Adm og utvikling</t>
  </si>
  <si>
    <t>Faglig veiledning</t>
  </si>
  <si>
    <t>Barnevernstjenesten</t>
  </si>
  <si>
    <t>Ny kunnskap om mottakere av barnevernstjenester</t>
  </si>
  <si>
    <t>Samarbeid med Oslo Met</t>
  </si>
  <si>
    <t>Jubileumsåret 2026</t>
  </si>
  <si>
    <t>Informasjonssikkerhet</t>
  </si>
  <si>
    <t>Sikkerhetsoppgaver</t>
  </si>
  <si>
    <t>Annet sikkerhetsarbeid</t>
  </si>
  <si>
    <t>Fysisk sikkerhet, personellsikkerhet</t>
  </si>
  <si>
    <t>virksomhetsstyring og internkontroll</t>
  </si>
  <si>
    <t>PVO</t>
  </si>
  <si>
    <t>Enhet for etterlevelse</t>
  </si>
  <si>
    <t>Etterlevelse -tverrgående arbeid</t>
  </si>
  <si>
    <t>Generelt arbeid med etterlevelse</t>
  </si>
  <si>
    <t>SSB-analyse</t>
  </si>
  <si>
    <t>SSB-analyse, artikkelskriving</t>
  </si>
  <si>
    <t>Skrive artikler til SSB-analyse</t>
  </si>
  <si>
    <t>Høringer</t>
  </si>
  <si>
    <t>Besvare høringsbrev fra regjeringen.</t>
  </si>
  <si>
    <t>Faglige henvendelser - ubetalt</t>
  </si>
  <si>
    <t xml:space="preserve">Faglige henvendelser fra eksterne brukere som ikke kan føres direkte på en statistikk, et analyseoppdrag eller lignende. </t>
  </si>
  <si>
    <t>Samlepost for diverse ubetalte oppdrag som gjennoføres av Seksjon for metoder, både internt og eksternt. Dette er oppdrag som ikke naturlig kan føres på andre arbeidsordre og som er så små at vi ikke lager egne produkter (mindre enn 20 timer)</t>
  </si>
  <si>
    <t>Diverse småoppdrag</t>
  </si>
  <si>
    <t>Oppdrag som er finansiert eksternt, markedsoppdrag, som er for små til å opprette eget produktnummer. Ansvarlig seksjon vurderer hvilke oppdrag det skal opprettes egne produkter for. Se også fellesprodukt for mikrodataoppdrag og Tverrfaglige tabelloppdrag.</t>
  </si>
  <si>
    <t>Mikrodataoppdrag</t>
  </si>
  <si>
    <t>Avklaring, saksbehandling og tilrettelegging av mikrodata til forskningsformål. Mikrodataoppdrag som finansiert eksternt, markedsoppdrag, som er for små til å opprette eget produktnummer. Ansvarlig seksjon vurderer hvilke oppdrag det skal opprettes egne produkter for.</t>
  </si>
  <si>
    <t>Tverrfaglige tabelloppdrag</t>
  </si>
  <si>
    <t>Koordinere arbeid med og sammenstilling av tverrfaglig statistikk på bestilling fra eksterne kunder. Tverrfaglige tabelloppdrag som er finansiert eksternt, markedsoppdrag, som er for små til å opprette eget produktnummer. Ansvarlig seksjon vurderer hvilke oppdrag det skal opprettes egne produkter for.</t>
  </si>
  <si>
    <t>Internasjonal koordinering</t>
  </si>
  <si>
    <t>Samarbeid/kontakt EØS/EU</t>
  </si>
  <si>
    <t xml:space="preserve">Produktnummeret omfatter generell kontakt og koordinering, møtedeltakelse og dataleveranser i forhold til Eurostat, som ikke kan knyttes til noe spesifikt statistikkprodukt. </t>
  </si>
  <si>
    <t>Internasjonalt samarbeid utenom EØS</t>
  </si>
  <si>
    <t xml:space="preserve">Produktnummeret omfatter generell kontakt og koordinering, møtedeltakelse og dataleveranser i forhold til internasjonale organisasjoner utenom Eurostat; UNECE, OECE, IMF, ILO mv. når oppgaven ikke kan knyttes til noe spesifikt statistikkprodukt. Generelt nordisk samarbeid er også inkludert. </t>
  </si>
  <si>
    <t>Kompetanseutvikling</t>
  </si>
  <si>
    <t>Kompetanseutvikling interne kurs</t>
  </si>
  <si>
    <t>Deltakelse på kurs og seminarer internt i SSB. Brukes når deltakelsen ikke kan føres direkte på et eksternt rettede produkter i nummerserien 1x-3x.</t>
  </si>
  <si>
    <t>Kompetanseutvikling eksterne kurs</t>
  </si>
  <si>
    <t>Deltakelse på kurs og seminarer arrangert av andre enn SSB. Brukes når deltakelsen ikke kan føres direkte på et eksternt rettede produkter i nummerserien 1x-3x.</t>
  </si>
  <si>
    <t>Faglig administrasjon og ledelse</t>
  </si>
  <si>
    <r>
      <t xml:space="preserve">Administrative oppgaver som er knyttet til fag (samfunnsoppdraget) som ikke direkte kan knyttes til ett produkt eller én tjeneste. Eks.: </t>
    </r>
    <r>
      <rPr>
        <b/>
        <sz val="11"/>
        <color rgb="FF000000"/>
        <rFont val="Calibri"/>
        <family val="2"/>
        <scheme val="minor"/>
      </rPr>
      <t>Seksjonsmøter, gruppemøter, administrative seksjons- og gruppelederoppgaver.</t>
    </r>
  </si>
  <si>
    <t>Prosjektsøknader og -utvikling (ubetalt)</t>
  </si>
  <si>
    <t>Forberede prosjekter, skrive søknader om prosjekter etc. når oppgavene ikke kan føres på eksternt rettede produkter.</t>
  </si>
  <si>
    <t>Økonomi og virksomhetsstyring</t>
  </si>
  <si>
    <t>Økonomi</t>
  </si>
  <si>
    <t>Regnskap, controlleroppgaver, inn- og utgående faktura, budsjett, rapportering etc</t>
  </si>
  <si>
    <t>Personal (HR)</t>
  </si>
  <si>
    <t xml:space="preserve">Produktnummeret skal i første rekke brukes av de som arbeider med personalforvaltning sentralt og i avdelingene. </t>
  </si>
  <si>
    <t>Ansattes delt.i interesseorg/fagforening</t>
  </si>
  <si>
    <t>Møter, forberedelser m.m. for tillitsvalgte og ansattes deltagelse i interesseorganisasjoner og fagforeninger.</t>
  </si>
  <si>
    <t>Ledelse</t>
  </si>
  <si>
    <r>
      <t>Internt rettet ledelse, ledelse som virksomheter gjør, uavhengig av hvilket samfunnsoppdrag de har.</t>
    </r>
    <r>
      <rPr>
        <sz val="11"/>
        <color theme="1"/>
        <rFont val="Calibri"/>
        <family val="2"/>
        <scheme val="minor"/>
      </rPr>
      <t xml:space="preserve"> Til bruk for direktører og sentral ledelse. </t>
    </r>
    <r>
      <rPr>
        <sz val="11"/>
        <color rgb="FF000000"/>
        <rFont val="Calibri"/>
        <family val="2"/>
        <scheme val="minor"/>
      </rPr>
      <t>Samlenummer for seksjonslederes tid brukt på administrative oppgaver av typen økonomi, personal, rekruttering og lignende</t>
    </r>
  </si>
  <si>
    <t>Velferdstiltak</t>
  </si>
  <si>
    <t>Produktnummeret brukes i forbindelse med velferdstiltak, for eksempel velferdsdag, 25-, 50-, og 60-årsmarkeringer, massasje og trening i arbeidstiden som Trening for bedre helse.</t>
  </si>
  <si>
    <t>HMS-arbeidet</t>
  </si>
  <si>
    <t xml:space="preserve">Arbeidsmiljøarbeid, HMS relatert arbeid. Deltakelse i møter og kurs/seminar/konferanse relatert til temaet. Verneombudsarbeid, Bedriftshelsetjenesten - helsekontroller og lignende, generelt HMS-arbeid, oppfølging av HMS-tiltak og HMS-runder. </t>
  </si>
  <si>
    <t>Utviklingsprogram metodekompetanse i ssb,  og annen utvikling av kurs i metode</t>
  </si>
  <si>
    <t>Utvikling av interne eller eksterne metodekurs e.l.</t>
  </si>
  <si>
    <t>Brukes også for gjennomføring/avholde eksterne kurs</t>
  </si>
  <si>
    <t>50006</t>
  </si>
  <si>
    <r>
      <rPr>
        <sz val="11"/>
        <color rgb="FF000000"/>
        <rFont val="Calibri"/>
        <family val="2"/>
        <scheme val="minor"/>
      </rPr>
      <t xml:space="preserve">Brukes for kurs man </t>
    </r>
    <r>
      <rPr>
        <b/>
        <sz val="11"/>
        <color rgb="FF000000"/>
        <rFont val="Calibri"/>
        <family val="2"/>
        <scheme val="minor"/>
      </rPr>
      <t>deltar</t>
    </r>
    <r>
      <rPr>
        <sz val="11"/>
        <color rgb="FF000000"/>
        <rFont val="Calibri"/>
        <family val="2"/>
        <scheme val="minor"/>
      </rPr>
      <t xml:space="preserve"> på selv</t>
    </r>
  </si>
  <si>
    <r>
      <t xml:space="preserve">Brukes for kurs man </t>
    </r>
    <r>
      <rPr>
        <b/>
        <sz val="11"/>
        <color theme="1"/>
        <rFont val="Calibri"/>
        <family val="2"/>
        <scheme val="minor"/>
      </rPr>
      <t>deltar</t>
    </r>
    <r>
      <rPr>
        <sz val="11"/>
        <color theme="1"/>
        <rFont val="Calibri"/>
        <family val="2"/>
        <scheme val="minor"/>
      </rPr>
      <t xml:space="preserve"> på selv</t>
    </r>
  </si>
  <si>
    <t>60013</t>
  </si>
  <si>
    <t>Interne kurs - org. og gjennomføring</t>
  </si>
  <si>
    <r>
      <t xml:space="preserve">Brukes for å </t>
    </r>
    <r>
      <rPr>
        <b/>
        <sz val="11"/>
        <color theme="1"/>
        <rFont val="Calibri"/>
        <family val="2"/>
        <scheme val="minor"/>
      </rPr>
      <t>avholde</t>
    </r>
    <r>
      <rPr>
        <sz val="11"/>
        <color theme="1"/>
        <rFont val="Calibri"/>
        <family val="2"/>
        <scheme val="minor"/>
      </rPr>
      <t xml:space="preserve"> interne kurs</t>
    </r>
  </si>
  <si>
    <t>TRUST</t>
  </si>
  <si>
    <t>Arbeid gjort i TRUST-prosjektet</t>
  </si>
  <si>
    <t>Kommentarer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</si>
</sst>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name val="Arial"/>
      <family val="2"/>
    </font>
    <font>
      <sz val="11"/>
      <color rgb="FF000000"/>
      <name val="Calibri"/>
      <family val="2"/>
      <scheme val="minor"/>
    </font>
    <font>
      <sz val="11"/>
      <color rgb="FF000000"/>
      <name val="Calibri"/>
      <family val="2"/>
    </font>
    <font>
      <b/>
      <sz val="11"/>
      <color rgb="FF000000"/>
      <name val="Calibri"/>
      <family val="2"/>
      <scheme val="minor"/>
    </font>
    <font>
      <sz val="11"/>
      <color theme="1"/>
      <name val="Calibri"/>
      <family val="2"/>
    </font>
    <font>
      <b/>
      <sz val="14"/>
      <color rgb="FF000000"/>
      <name val="Calibri"/>
      <family val="2"/>
    </font>
    <font>
      <b/>
      <sz val="11"/>
      <color theme="1"/>
      <name val="Calibri"/>
      <family val="2"/>
    </font>
  </fonts>
  <fills count="7">
    <fill>
      <patternFill patternType="none"/>
    </fill>
    <fill>
      <patternFill patternType="gray125"/>
    </fill>
    <fill>
      <patternFill patternType="solid">
        <fgColor rgb="FFFCE4D6"/>
        <bgColor rgb="FF000000"/>
      </patternFill>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31">
    <xf numFmtId="0" fontId="0" fillId="0" borderId="0" xfId="0"/>
    <xf numFmtId="0" fontId="0" fillId="0" borderId="0" xfId="0" applyAlignment="1">
      <alignment horizontal="left" vertical="top" wrapText="1"/>
    </xf>
    <xf numFmtId="0" fontId="0" fillId="0" borderId="0" xfId="0" applyAlignment="1">
      <alignment vertical="top" wrapText="1"/>
    </xf>
    <xf numFmtId="0" fontId="7" fillId="2" borderId="1" xfId="0" applyFont="1" applyFill="1" applyBorder="1" applyAlignment="1">
      <alignment horizontal="left" vertical="top" wrapText="1"/>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right" vertical="top" wrapText="1"/>
    </xf>
    <xf numFmtId="49" fontId="0" fillId="0" borderId="1" xfId="0" applyNumberFormat="1" applyBorder="1" applyAlignment="1">
      <alignment horizontal="right" vertical="top" wrapText="1"/>
    </xf>
    <xf numFmtId="49" fontId="0" fillId="0" borderId="1" xfId="0" applyNumberFormat="1" applyBorder="1" applyAlignment="1">
      <alignment horizontal="left" vertical="top" wrapText="1"/>
    </xf>
    <xf numFmtId="0" fontId="3" fillId="0" borderId="1" xfId="0" applyFont="1" applyBorder="1" applyAlignment="1">
      <alignment horizontal="right" vertical="top" wrapText="1"/>
    </xf>
    <xf numFmtId="0" fontId="3" fillId="0" borderId="1" xfId="0" applyFont="1" applyBorder="1" applyAlignment="1">
      <alignment vertical="top" wrapText="1"/>
    </xf>
    <xf numFmtId="0" fontId="0" fillId="0" borderId="1" xfId="0" applyBorder="1"/>
    <xf numFmtId="0" fontId="0" fillId="0" borderId="1" xfId="0" applyBorder="1" applyAlignment="1">
      <alignment horizontal="left"/>
    </xf>
    <xf numFmtId="0" fontId="6"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3" borderId="1" xfId="0" applyFill="1" applyBorder="1"/>
    <xf numFmtId="0" fontId="0" fillId="3" borderId="1" xfId="0" applyFill="1" applyBorder="1" applyAlignment="1">
      <alignment horizontal="left"/>
    </xf>
    <xf numFmtId="0" fontId="0" fillId="3" borderId="2" xfId="0" applyFill="1" applyBorder="1"/>
    <xf numFmtId="0" fontId="0" fillId="3" borderId="3" xfId="0" applyFill="1" applyBorder="1" applyAlignment="1">
      <alignment horizontal="left"/>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0" fillId="5" borderId="1" xfId="0" applyFill="1" applyBorder="1" applyAlignment="1">
      <alignment vertical="top" wrapText="1"/>
    </xf>
    <xf numFmtId="0" fontId="0" fillId="5" borderId="1" xfId="0" applyFill="1" applyBorder="1" applyAlignment="1">
      <alignment horizontal="left" vertical="top" wrapText="1"/>
    </xf>
    <xf numFmtId="0" fontId="0" fillId="5" borderId="1" xfId="0" applyFill="1" applyBorder="1"/>
    <xf numFmtId="0" fontId="0" fillId="6" borderId="1" xfId="0" applyFill="1" applyBorder="1" applyAlignment="1">
      <alignment horizontal="left" vertical="top" wrapText="1"/>
    </xf>
    <xf numFmtId="0" fontId="0" fillId="6" borderId="1" xfId="0" applyFill="1" applyBorder="1"/>
    <xf numFmtId="0" fontId="8" fillId="3" borderId="1" xfId="0" applyFont="1" applyFill="1" applyBorder="1" applyAlignment="1">
      <alignment horizontal="left" vertical="top" wrapText="1"/>
    </xf>
    <xf numFmtId="0" fontId="1" fillId="0" borderId="1" xfId="0" applyFont="1" applyBorder="1" applyAlignment="1">
      <alignment horizontal="left" vertical="top" wrapText="1"/>
    </xf>
  </cellXfs>
  <cellStyles count="2">
    <cellStyle name="Normal" xfId="0" builtinId="0"/>
    <cellStyle name="Normal 3" xfId="1" xr:uid="{8D23E538-2B78-40B8-9A65-E0FCE4A8566D}"/>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eldahl, Håvard Ibenholt" id="{742797A0-8615-45D4-9275-2505A176847B}" userId="S::var@ssb.no::cf0fc180-040f-41cc-9ed1-149f4c2568c0" providerId="AD"/>
</personList>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7" dT="2025-10-27T08:17:57.91" personId="{742797A0-8615-45D4-9275-2505A176847B}" id="{DFE3BB63-1DDE-4F1D-8774-168EDED44052}">
    <text>Lagt inn de jeg har brukt. Splitt på annet sikkerhetsarbeid har ikke blitt brukt så langt, men kan bli aktuelt da vi nå splitter fysisk og personellsikkerhet fra IN.
Fant for øvrig en gammel tabell fra 2019 med arbeidsordrenr her
https://ssbno.sharepoint.com/sites/Virksomhetsstyring/SitePages/Produktregister.aspx?web=1</text>
    <extLst>
      <x:ext xmlns:xltc2="http://schemas.microsoft.com/office/spreadsheetml/2020/threadedcomments2" uri="{F7C98A9C-CBB3-438F-8F68-D28B6AF4A901}">
        <xltc2:checksum>4073929424</xltc2:checksum>
        <xltc2:hyperlink startIndex="230" length="90" url="https://ssbno.sharepoint.com/sites/Virksomhetsstyring/SitePages/Produktregister.aspx?web=1"/>
      </x:ext>
    </extLs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69F7-3556-4741-A1E5-E5242EA0A3A9}">
  <sheetPr codeName="Ark5"/>
  <dimension ref="A1:E35"/>
  <sheetViews>
    <sheetView topLeftCell="A23" workbookViewId="0">
      <selection activeCell="C30" sqref="C30"/>
    </sheetView>
  </sheetViews>
  <sheetFormatPr baseColWidth="10" defaultColWidth="11.42578125" defaultRowHeight="15" x14ac:dyDescent="0.25"/>
  <cols>
    <col min="1" max="1" width="19.85546875" style="1" customWidth="1"/>
    <col min="2" max="2" width="21.5703125" style="1" customWidth="1"/>
    <col min="3" max="3" width="16.42578125" style="1" customWidth="1"/>
    <col min="4" max="4" width="18.140625" style="1" customWidth="1"/>
    <col min="5" max="5" width="47.42578125" style="1" customWidth="1"/>
  </cols>
  <sheetData>
    <row r="1" spans="1:5" ht="37.5" x14ac:dyDescent="0.25">
      <c r="A1" s="3" t="s">
        <v>0</v>
      </c>
      <c r="B1" s="3" t="s">
        <v>1</v>
      </c>
      <c r="C1" s="3" t="s">
        <v>2</v>
      </c>
      <c r="D1" s="3" t="s">
        <v>3</v>
      </c>
      <c r="E1" s="3" t="s">
        <v>4</v>
      </c>
    </row>
    <row r="2" spans="1:5" ht="45" x14ac:dyDescent="0.25">
      <c r="A2" s="4">
        <v>44001</v>
      </c>
      <c r="B2" s="4" t="s">
        <v>5</v>
      </c>
      <c r="C2" s="4">
        <v>4400101</v>
      </c>
      <c r="D2" s="4" t="s">
        <v>6</v>
      </c>
      <c r="E2" s="4" t="s">
        <v>7</v>
      </c>
    </row>
    <row r="3" spans="1:5" ht="60" x14ac:dyDescent="0.25">
      <c r="A3" s="4">
        <v>44001</v>
      </c>
      <c r="B3" s="4" t="s">
        <v>5</v>
      </c>
      <c r="C3" s="4">
        <v>4400102</v>
      </c>
      <c r="D3" s="4" t="s">
        <v>8</v>
      </c>
      <c r="E3" s="4" t="s">
        <v>9</v>
      </c>
    </row>
    <row r="4" spans="1:5" ht="45" x14ac:dyDescent="0.25">
      <c r="A4" s="4">
        <v>44001</v>
      </c>
      <c r="B4" s="4" t="s">
        <v>5</v>
      </c>
      <c r="C4" s="4">
        <v>4400103</v>
      </c>
      <c r="D4" s="4" t="s">
        <v>10</v>
      </c>
      <c r="E4" s="4" t="s">
        <v>11</v>
      </c>
    </row>
    <row r="5" spans="1:5" ht="45" x14ac:dyDescent="0.25">
      <c r="A5" s="4">
        <v>44002</v>
      </c>
      <c r="B5" s="4" t="s">
        <v>12</v>
      </c>
      <c r="C5" s="4">
        <v>4400201</v>
      </c>
      <c r="D5" s="4"/>
      <c r="E5" s="4" t="s">
        <v>13</v>
      </c>
    </row>
    <row r="6" spans="1:5" ht="45" x14ac:dyDescent="0.25">
      <c r="A6" s="4">
        <v>44004</v>
      </c>
      <c r="B6" s="4" t="s">
        <v>14</v>
      </c>
      <c r="C6" s="4">
        <v>4400401</v>
      </c>
      <c r="D6" s="4"/>
      <c r="E6" s="4" t="s">
        <v>15</v>
      </c>
    </row>
    <row r="7" spans="1:5" ht="30" x14ac:dyDescent="0.25">
      <c r="A7" s="4">
        <v>44005</v>
      </c>
      <c r="B7" s="4" t="s">
        <v>16</v>
      </c>
      <c r="C7" s="4">
        <v>4400501</v>
      </c>
      <c r="D7" s="4"/>
      <c r="E7" s="4" t="s">
        <v>17</v>
      </c>
    </row>
    <row r="8" spans="1:5" ht="45" x14ac:dyDescent="0.25">
      <c r="A8" s="4">
        <v>44006</v>
      </c>
      <c r="B8" s="4" t="s">
        <v>18</v>
      </c>
      <c r="C8" s="4">
        <v>4400601</v>
      </c>
      <c r="D8" s="4"/>
      <c r="E8" s="4" t="s">
        <v>19</v>
      </c>
    </row>
    <row r="9" spans="1:5" ht="60" x14ac:dyDescent="0.25">
      <c r="A9" s="4">
        <v>44007</v>
      </c>
      <c r="B9" s="4" t="s">
        <v>20</v>
      </c>
      <c r="C9" s="4">
        <v>4400701</v>
      </c>
      <c r="D9" s="4" t="s">
        <v>21</v>
      </c>
      <c r="E9" s="4" t="s">
        <v>22</v>
      </c>
    </row>
    <row r="10" spans="1:5" ht="30" x14ac:dyDescent="0.25">
      <c r="A10" s="4">
        <v>44007</v>
      </c>
      <c r="B10" s="4" t="s">
        <v>20</v>
      </c>
      <c r="C10" s="4">
        <v>4400702</v>
      </c>
      <c r="D10" s="4" t="s">
        <v>23</v>
      </c>
      <c r="E10" s="4" t="s">
        <v>24</v>
      </c>
    </row>
    <row r="11" spans="1:5" ht="60" x14ac:dyDescent="0.25">
      <c r="A11" s="4">
        <v>44007</v>
      </c>
      <c r="B11" s="4" t="s">
        <v>20</v>
      </c>
      <c r="C11" s="4">
        <v>4400703</v>
      </c>
      <c r="D11" s="4" t="s">
        <v>25</v>
      </c>
      <c r="E11" s="4" t="s">
        <v>26</v>
      </c>
    </row>
    <row r="12" spans="1:5" ht="45" x14ac:dyDescent="0.25">
      <c r="A12" s="4">
        <v>44008</v>
      </c>
      <c r="B12" s="4" t="s">
        <v>27</v>
      </c>
      <c r="C12" s="4">
        <v>4400801</v>
      </c>
      <c r="D12" s="4" t="s">
        <v>27</v>
      </c>
      <c r="E12" s="4" t="s">
        <v>28</v>
      </c>
    </row>
    <row r="13" spans="1:5" ht="45" x14ac:dyDescent="0.25">
      <c r="A13" s="4">
        <v>44008</v>
      </c>
      <c r="B13" s="4" t="s">
        <v>27</v>
      </c>
      <c r="C13" s="4">
        <v>4400802</v>
      </c>
      <c r="D13" s="4" t="s">
        <v>29</v>
      </c>
      <c r="E13" s="5" t="s">
        <v>30</v>
      </c>
    </row>
    <row r="14" spans="1:5" ht="45" x14ac:dyDescent="0.25">
      <c r="A14" s="4">
        <v>44008</v>
      </c>
      <c r="B14" s="4" t="s">
        <v>27</v>
      </c>
      <c r="C14" s="4">
        <v>4400803</v>
      </c>
      <c r="D14" s="6" t="s">
        <v>31</v>
      </c>
      <c r="E14" s="5" t="s">
        <v>32</v>
      </c>
    </row>
    <row r="15" spans="1:5" ht="75" x14ac:dyDescent="0.25">
      <c r="A15" s="4">
        <v>44009</v>
      </c>
      <c r="B15" s="4" t="s">
        <v>33</v>
      </c>
      <c r="C15" s="4">
        <v>4400901</v>
      </c>
      <c r="D15" s="5" t="s">
        <v>33</v>
      </c>
      <c r="E15" s="4" t="s">
        <v>34</v>
      </c>
    </row>
    <row r="16" spans="1:5" ht="30" x14ac:dyDescent="0.25">
      <c r="A16" s="4">
        <v>44009</v>
      </c>
      <c r="B16" s="4" t="s">
        <v>33</v>
      </c>
      <c r="C16" s="4">
        <v>4400902</v>
      </c>
      <c r="D16" s="5" t="s">
        <v>35</v>
      </c>
      <c r="E16" s="4" t="s">
        <v>36</v>
      </c>
    </row>
    <row r="17" spans="1:5" ht="30" x14ac:dyDescent="0.25">
      <c r="A17" s="4">
        <v>44009</v>
      </c>
      <c r="B17" s="4" t="s">
        <v>33</v>
      </c>
      <c r="C17" s="4">
        <v>4400903</v>
      </c>
      <c r="D17" s="4" t="s">
        <v>37</v>
      </c>
      <c r="E17" s="4" t="s">
        <v>38</v>
      </c>
    </row>
    <row r="18" spans="1:5" ht="30" x14ac:dyDescent="0.25">
      <c r="A18" s="4">
        <v>44009</v>
      </c>
      <c r="B18" s="4" t="s">
        <v>33</v>
      </c>
      <c r="C18" s="4">
        <v>4400904</v>
      </c>
      <c r="D18" s="4" t="s">
        <v>39</v>
      </c>
      <c r="E18" s="4" t="s">
        <v>40</v>
      </c>
    </row>
    <row r="19" spans="1:5" ht="30" x14ac:dyDescent="0.25">
      <c r="A19" s="4">
        <v>44009</v>
      </c>
      <c r="B19" s="4" t="s">
        <v>33</v>
      </c>
      <c r="C19" s="4">
        <v>4400905</v>
      </c>
      <c r="D19" s="4" t="s">
        <v>41</v>
      </c>
      <c r="E19" s="4" t="s">
        <v>42</v>
      </c>
    </row>
    <row r="20" spans="1:5" ht="45" x14ac:dyDescent="0.25">
      <c r="A20" s="4">
        <v>44009</v>
      </c>
      <c r="B20" s="4" t="s">
        <v>33</v>
      </c>
      <c r="C20" s="4">
        <v>4400906</v>
      </c>
      <c r="D20" s="4" t="s">
        <v>43</v>
      </c>
      <c r="E20" s="4" t="s">
        <v>44</v>
      </c>
    </row>
    <row r="21" spans="1:5" ht="83.25" customHeight="1" x14ac:dyDescent="0.25">
      <c r="A21" s="4">
        <v>44009</v>
      </c>
      <c r="B21" s="4" t="s">
        <v>33</v>
      </c>
      <c r="C21" s="4">
        <v>4400906</v>
      </c>
      <c r="D21" s="4" t="s">
        <v>45</v>
      </c>
      <c r="E21" s="4" t="s">
        <v>46</v>
      </c>
    </row>
    <row r="22" spans="1:5" ht="30" x14ac:dyDescent="0.25">
      <c r="A22" s="4">
        <v>44010</v>
      </c>
      <c r="B22" s="4" t="s">
        <v>47</v>
      </c>
      <c r="C22" s="4">
        <v>4401001</v>
      </c>
      <c r="D22" s="4"/>
      <c r="E22" s="4" t="s">
        <v>48</v>
      </c>
    </row>
    <row r="23" spans="1:5" ht="45" x14ac:dyDescent="0.25">
      <c r="A23" s="4">
        <v>44013</v>
      </c>
      <c r="B23" s="4" t="s">
        <v>49</v>
      </c>
      <c r="C23" s="4">
        <v>4401301</v>
      </c>
      <c r="D23" s="4"/>
      <c r="E23" s="4" t="s">
        <v>50</v>
      </c>
    </row>
    <row r="24" spans="1:5" ht="45" x14ac:dyDescent="0.25">
      <c r="A24" s="4">
        <v>44015</v>
      </c>
      <c r="B24" s="4" t="s">
        <v>51</v>
      </c>
      <c r="C24" s="4">
        <v>4401501</v>
      </c>
      <c r="D24" s="4" t="s">
        <v>51</v>
      </c>
      <c r="E24" s="4" t="s">
        <v>52</v>
      </c>
    </row>
    <row r="25" spans="1:5" ht="30" x14ac:dyDescent="0.25">
      <c r="A25" s="4">
        <v>44015</v>
      </c>
      <c r="B25" s="4" t="s">
        <v>51</v>
      </c>
      <c r="C25" s="4">
        <v>4401502</v>
      </c>
      <c r="D25" s="4" t="s">
        <v>53</v>
      </c>
      <c r="E25" s="4" t="s">
        <v>54</v>
      </c>
    </row>
    <row r="26" spans="1:5" ht="45" x14ac:dyDescent="0.25">
      <c r="A26" s="4">
        <v>44017</v>
      </c>
      <c r="B26" s="4" t="s">
        <v>55</v>
      </c>
      <c r="C26" s="4">
        <v>4401701</v>
      </c>
      <c r="D26" s="4" t="s">
        <v>56</v>
      </c>
      <c r="E26" s="4" t="s">
        <v>57</v>
      </c>
    </row>
    <row r="27" spans="1:5" x14ac:dyDescent="0.25">
      <c r="A27" s="4">
        <v>44017</v>
      </c>
      <c r="B27" s="4" t="s">
        <v>55</v>
      </c>
      <c r="C27" s="4">
        <v>4401701</v>
      </c>
      <c r="D27" s="4" t="s">
        <v>58</v>
      </c>
      <c r="E27" s="4" t="s">
        <v>59</v>
      </c>
    </row>
    <row r="28" spans="1:5" ht="30" x14ac:dyDescent="0.25">
      <c r="A28" s="4">
        <v>46014</v>
      </c>
      <c r="B28" s="4" t="s">
        <v>60</v>
      </c>
      <c r="C28" s="4">
        <v>4601401</v>
      </c>
      <c r="D28" s="4" t="s">
        <v>61</v>
      </c>
      <c r="E28" s="4" t="s">
        <v>62</v>
      </c>
    </row>
    <row r="29" spans="1:5" ht="60" x14ac:dyDescent="0.25">
      <c r="A29" s="4">
        <v>46014</v>
      </c>
      <c r="B29" s="4" t="s">
        <v>60</v>
      </c>
      <c r="C29" s="4">
        <v>4601402</v>
      </c>
      <c r="D29" s="4" t="s">
        <v>63</v>
      </c>
      <c r="E29" s="6" t="s">
        <v>64</v>
      </c>
    </row>
    <row r="30" spans="1:5" ht="60" x14ac:dyDescent="0.25">
      <c r="A30" s="4">
        <v>46014</v>
      </c>
      <c r="B30" s="4" t="s">
        <v>60</v>
      </c>
      <c r="C30" s="4">
        <v>4601403</v>
      </c>
      <c r="D30" s="4" t="s">
        <v>65</v>
      </c>
      <c r="E30" s="6" t="s">
        <v>66</v>
      </c>
    </row>
    <row r="31" spans="1:5" ht="45" x14ac:dyDescent="0.25">
      <c r="A31" s="4">
        <v>46014</v>
      </c>
      <c r="B31" s="4" t="s">
        <v>60</v>
      </c>
      <c r="C31" s="4">
        <v>4601404</v>
      </c>
      <c r="D31" s="4" t="s">
        <v>67</v>
      </c>
      <c r="E31" s="6" t="s">
        <v>68</v>
      </c>
    </row>
    <row r="32" spans="1:5" ht="30" x14ac:dyDescent="0.25">
      <c r="A32" s="4">
        <v>46014</v>
      </c>
      <c r="B32" s="4" t="s">
        <v>60</v>
      </c>
      <c r="C32" s="4">
        <v>4601405</v>
      </c>
      <c r="D32" s="4" t="s">
        <v>69</v>
      </c>
      <c r="E32" s="6" t="s">
        <v>70</v>
      </c>
    </row>
    <row r="33" spans="1:5" ht="30" x14ac:dyDescent="0.25">
      <c r="A33" s="4">
        <v>20163</v>
      </c>
      <c r="B33" s="4" t="s">
        <v>71</v>
      </c>
      <c r="C33" s="4">
        <v>2016301</v>
      </c>
      <c r="D33" s="4"/>
      <c r="E33" s="4" t="s">
        <v>72</v>
      </c>
    </row>
    <row r="34" spans="1:5" ht="30" x14ac:dyDescent="0.25">
      <c r="A34" s="7">
        <v>46016</v>
      </c>
      <c r="B34" s="7" t="s">
        <v>73</v>
      </c>
      <c r="C34" s="7">
        <v>4601601</v>
      </c>
      <c r="D34" s="7"/>
      <c r="E34" s="7" t="s">
        <v>74</v>
      </c>
    </row>
    <row r="35" spans="1:5" ht="45" x14ac:dyDescent="0.25">
      <c r="A35" s="7">
        <v>30174</v>
      </c>
      <c r="B35" s="7" t="s">
        <v>75</v>
      </c>
      <c r="C35" s="7">
        <v>3017401</v>
      </c>
      <c r="D35" s="7"/>
      <c r="E35" s="7"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5BBFC-BF69-4619-83C4-51989D0A8A2C}">
  <sheetPr codeName="Ark6"/>
  <dimension ref="A3:C32"/>
  <sheetViews>
    <sheetView workbookViewId="0">
      <selection activeCell="A4" sqref="A4"/>
    </sheetView>
  </sheetViews>
  <sheetFormatPr baseColWidth="10" defaultColWidth="11.42578125" defaultRowHeight="15" x14ac:dyDescent="0.25"/>
  <sheetData>
    <row r="3" spans="1:3" x14ac:dyDescent="0.25">
      <c r="B3" t="s">
        <v>77</v>
      </c>
      <c r="C3" t="s">
        <v>78</v>
      </c>
    </row>
    <row r="4" spans="1:3" x14ac:dyDescent="0.25">
      <c r="A4" t="s">
        <v>79</v>
      </c>
    </row>
    <row r="5" spans="1:3" x14ac:dyDescent="0.25">
      <c r="A5" t="s">
        <v>80</v>
      </c>
    </row>
    <row r="6" spans="1:3" x14ac:dyDescent="0.25">
      <c r="A6" t="s">
        <v>81</v>
      </c>
    </row>
    <row r="7" spans="1:3" x14ac:dyDescent="0.25">
      <c r="A7" t="s">
        <v>82</v>
      </c>
    </row>
    <row r="8" spans="1:3" x14ac:dyDescent="0.25">
      <c r="A8" t="s">
        <v>83</v>
      </c>
    </row>
    <row r="9" spans="1:3" x14ac:dyDescent="0.25">
      <c r="A9" t="s">
        <v>84</v>
      </c>
    </row>
    <row r="10" spans="1:3" x14ac:dyDescent="0.25">
      <c r="A10" t="s">
        <v>85</v>
      </c>
    </row>
    <row r="11" spans="1:3" x14ac:dyDescent="0.25">
      <c r="A11" t="s">
        <v>86</v>
      </c>
    </row>
    <row r="12" spans="1:3" x14ac:dyDescent="0.25">
      <c r="A12" t="s">
        <v>87</v>
      </c>
    </row>
    <row r="13" spans="1:3" x14ac:dyDescent="0.25">
      <c r="A13" t="s">
        <v>88</v>
      </c>
    </row>
    <row r="14" spans="1:3" x14ac:dyDescent="0.25">
      <c r="A14" t="s">
        <v>89</v>
      </c>
    </row>
    <row r="15" spans="1:3" x14ac:dyDescent="0.25">
      <c r="A15" t="s">
        <v>90</v>
      </c>
    </row>
    <row r="16" spans="1:3" x14ac:dyDescent="0.25">
      <c r="A16" t="s">
        <v>91</v>
      </c>
    </row>
    <row r="17" spans="1:1" x14ac:dyDescent="0.25">
      <c r="A17" t="s">
        <v>92</v>
      </c>
    </row>
    <row r="18" spans="1:1" x14ac:dyDescent="0.25">
      <c r="A18" t="s">
        <v>93</v>
      </c>
    </row>
    <row r="19" spans="1:1" x14ac:dyDescent="0.25">
      <c r="A19" t="s">
        <v>94</v>
      </c>
    </row>
    <row r="20" spans="1:1" x14ac:dyDescent="0.25">
      <c r="A20" t="s">
        <v>95</v>
      </c>
    </row>
    <row r="21" spans="1:1" x14ac:dyDescent="0.25">
      <c r="A21" t="s">
        <v>96</v>
      </c>
    </row>
    <row r="22" spans="1:1" x14ac:dyDescent="0.25">
      <c r="A22" t="s">
        <v>97</v>
      </c>
    </row>
    <row r="23" spans="1:1" x14ac:dyDescent="0.25">
      <c r="A23" t="s">
        <v>98</v>
      </c>
    </row>
    <row r="24" spans="1:1" x14ac:dyDescent="0.25">
      <c r="A24" t="s">
        <v>99</v>
      </c>
    </row>
    <row r="25" spans="1:1" x14ac:dyDescent="0.25">
      <c r="A25" t="s">
        <v>100</v>
      </c>
    </row>
    <row r="26" spans="1:1" x14ac:dyDescent="0.25">
      <c r="A26" t="s">
        <v>101</v>
      </c>
    </row>
    <row r="27" spans="1:1" x14ac:dyDescent="0.25">
      <c r="A27" t="s">
        <v>102</v>
      </c>
    </row>
    <row r="28" spans="1:1" x14ac:dyDescent="0.25">
      <c r="A28" t="s">
        <v>103</v>
      </c>
    </row>
    <row r="29" spans="1:1" x14ac:dyDescent="0.25">
      <c r="A29" t="s">
        <v>104</v>
      </c>
    </row>
    <row r="30" spans="1:1" x14ac:dyDescent="0.25">
      <c r="A30" t="s">
        <v>105</v>
      </c>
    </row>
    <row r="31" spans="1:1" x14ac:dyDescent="0.25">
      <c r="A31" t="s">
        <v>106</v>
      </c>
    </row>
    <row r="32" spans="1:1" x14ac:dyDescent="0.25">
      <c r="A32" t="s">
        <v>107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AF7DA-6214-4331-AAB8-537396DE34D1}">
  <sheetPr>
    <pageSetUpPr fitToPage="1"/>
  </sheetPr>
  <dimension ref="A1:I73"/>
  <sheetViews>
    <sheetView tabSelected="1" workbookViewId="0">
      <selection activeCell="A74" sqref="A74"/>
    </sheetView>
  </sheetViews>
  <sheetFormatPr baseColWidth="10" defaultColWidth="11.42578125" defaultRowHeight="15" x14ac:dyDescent="0.25"/>
  <cols>
    <col min="1" max="1" width="19.85546875" style="1" customWidth="1"/>
    <col min="2" max="2" width="29.140625" style="1" customWidth="1"/>
    <col min="3" max="3" width="16.42578125" style="1" customWidth="1"/>
    <col min="4" max="4" width="18.140625" style="1" customWidth="1"/>
    <col min="5" max="5" width="47.42578125" style="1" customWidth="1"/>
    <col min="6" max="6" width="45.85546875" customWidth="1"/>
  </cols>
  <sheetData>
    <row r="1" spans="1:6" ht="37.5" x14ac:dyDescent="0.25">
      <c r="A1" s="3" t="s">
        <v>0</v>
      </c>
      <c r="B1" s="3" t="s">
        <v>1</v>
      </c>
      <c r="C1" s="3" t="s">
        <v>2</v>
      </c>
      <c r="D1" s="3" t="s">
        <v>3</v>
      </c>
      <c r="E1" s="3" t="s">
        <v>4</v>
      </c>
      <c r="F1" s="3" t="s">
        <v>206</v>
      </c>
    </row>
    <row r="2" spans="1:6" ht="45" x14ac:dyDescent="0.25">
      <c r="A2" s="15">
        <v>44001</v>
      </c>
      <c r="B2" s="15" t="s">
        <v>5</v>
      </c>
      <c r="C2" s="15">
        <v>4400101</v>
      </c>
      <c r="D2" s="15" t="s">
        <v>6</v>
      </c>
      <c r="E2" s="15" t="s">
        <v>7</v>
      </c>
    </row>
    <row r="3" spans="1:6" ht="60" x14ac:dyDescent="0.25">
      <c r="A3" s="15">
        <v>44001</v>
      </c>
      <c r="B3" s="15" t="s">
        <v>5</v>
      </c>
      <c r="C3" s="15">
        <v>4400102</v>
      </c>
      <c r="D3" s="15" t="s">
        <v>8</v>
      </c>
      <c r="E3" s="15" t="s">
        <v>9</v>
      </c>
    </row>
    <row r="4" spans="1:6" ht="45" x14ac:dyDescent="0.25">
      <c r="A4" s="15">
        <v>44001</v>
      </c>
      <c r="B4" s="15" t="s">
        <v>5</v>
      </c>
      <c r="C4" s="15">
        <v>4400103</v>
      </c>
      <c r="D4" s="15" t="s">
        <v>10</v>
      </c>
      <c r="E4" s="15" t="s">
        <v>11</v>
      </c>
    </row>
    <row r="5" spans="1:6" ht="45" x14ac:dyDescent="0.25">
      <c r="A5" s="15">
        <v>44002</v>
      </c>
      <c r="B5" s="15" t="s">
        <v>12</v>
      </c>
      <c r="C5" s="15">
        <v>4400201</v>
      </c>
      <c r="D5" s="15"/>
      <c r="E5" s="15" t="s">
        <v>13</v>
      </c>
    </row>
    <row r="6" spans="1:6" ht="45" x14ac:dyDescent="0.25">
      <c r="A6" s="4">
        <v>44004</v>
      </c>
      <c r="B6" s="4" t="s">
        <v>14</v>
      </c>
      <c r="C6" s="4">
        <v>4400401</v>
      </c>
      <c r="D6" s="4"/>
      <c r="E6" s="4" t="s">
        <v>15</v>
      </c>
    </row>
    <row r="7" spans="1:6" ht="30" x14ac:dyDescent="0.25">
      <c r="A7" s="15">
        <v>44005</v>
      </c>
      <c r="B7" s="15" t="s">
        <v>16</v>
      </c>
      <c r="C7" s="15">
        <v>4400501</v>
      </c>
      <c r="D7" s="15"/>
      <c r="E7" s="15" t="s">
        <v>17</v>
      </c>
    </row>
    <row r="8" spans="1:6" ht="45" x14ac:dyDescent="0.25">
      <c r="A8" s="4">
        <v>44006</v>
      </c>
      <c r="B8" s="4" t="s">
        <v>18</v>
      </c>
      <c r="C8" s="4">
        <v>4400601</v>
      </c>
      <c r="D8" s="4"/>
      <c r="E8" s="4" t="s">
        <v>19</v>
      </c>
    </row>
    <row r="9" spans="1:6" ht="30" x14ac:dyDescent="0.25">
      <c r="A9" s="4">
        <v>44006</v>
      </c>
      <c r="B9" s="4" t="s">
        <v>18</v>
      </c>
      <c r="C9" s="4">
        <v>4400602</v>
      </c>
      <c r="D9" s="4" t="s">
        <v>108</v>
      </c>
      <c r="E9" s="4" t="s">
        <v>109</v>
      </c>
    </row>
    <row r="10" spans="1:6" ht="60" x14ac:dyDescent="0.25">
      <c r="A10" s="15">
        <v>44007</v>
      </c>
      <c r="B10" s="15" t="s">
        <v>20</v>
      </c>
      <c r="C10" s="15">
        <v>4400701</v>
      </c>
      <c r="D10" s="29"/>
      <c r="E10" s="15" t="s">
        <v>22</v>
      </c>
    </row>
    <row r="11" spans="1:6" ht="30" x14ac:dyDescent="0.25">
      <c r="A11" s="15">
        <v>44007</v>
      </c>
      <c r="B11" s="15" t="s">
        <v>20</v>
      </c>
      <c r="C11" s="15">
        <v>4400702</v>
      </c>
      <c r="D11" s="15" t="s">
        <v>23</v>
      </c>
      <c r="E11" s="15" t="s">
        <v>24</v>
      </c>
    </row>
    <row r="12" spans="1:6" ht="60" x14ac:dyDescent="0.25">
      <c r="A12" s="15">
        <v>44007</v>
      </c>
      <c r="B12" s="15" t="s">
        <v>20</v>
      </c>
      <c r="C12" s="15">
        <v>4400703</v>
      </c>
      <c r="D12" s="15" t="s">
        <v>25</v>
      </c>
      <c r="E12" s="15" t="s">
        <v>26</v>
      </c>
    </row>
    <row r="13" spans="1:6" ht="45" x14ac:dyDescent="0.25">
      <c r="A13" s="4">
        <v>44008</v>
      </c>
      <c r="B13" s="4" t="s">
        <v>27</v>
      </c>
      <c r="C13" s="4">
        <v>4400801</v>
      </c>
      <c r="D13" s="4" t="s">
        <v>27</v>
      </c>
      <c r="E13" s="4" t="s">
        <v>28</v>
      </c>
    </row>
    <row r="14" spans="1:6" ht="75" x14ac:dyDescent="0.25">
      <c r="A14" s="15">
        <v>44009</v>
      </c>
      <c r="B14" s="15" t="s">
        <v>33</v>
      </c>
      <c r="C14" s="15">
        <v>4400901</v>
      </c>
      <c r="D14" s="16" t="s">
        <v>33</v>
      </c>
      <c r="E14" s="15" t="s">
        <v>34</v>
      </c>
    </row>
    <row r="15" spans="1:6" ht="30" x14ac:dyDescent="0.25">
      <c r="A15" s="15">
        <v>44009</v>
      </c>
      <c r="B15" s="15" t="s">
        <v>33</v>
      </c>
      <c r="C15" s="15">
        <v>4400902</v>
      </c>
      <c r="D15" s="16" t="s">
        <v>35</v>
      </c>
      <c r="E15" s="15" t="s">
        <v>36</v>
      </c>
    </row>
    <row r="16" spans="1:6" ht="30" x14ac:dyDescent="0.25">
      <c r="A16" s="15">
        <v>44009</v>
      </c>
      <c r="B16" s="15" t="s">
        <v>33</v>
      </c>
      <c r="C16" s="15">
        <v>4400903</v>
      </c>
      <c r="D16" s="15" t="s">
        <v>37</v>
      </c>
      <c r="E16" s="15" t="s">
        <v>38</v>
      </c>
    </row>
    <row r="17" spans="1:5" ht="30" x14ac:dyDescent="0.25">
      <c r="A17" s="15">
        <v>44009</v>
      </c>
      <c r="B17" s="15" t="s">
        <v>33</v>
      </c>
      <c r="C17" s="15">
        <v>4400904</v>
      </c>
      <c r="D17" s="15" t="s">
        <v>39</v>
      </c>
      <c r="E17" s="15" t="s">
        <v>40</v>
      </c>
    </row>
    <row r="18" spans="1:5" ht="30" x14ac:dyDescent="0.25">
      <c r="A18" s="15">
        <v>44009</v>
      </c>
      <c r="B18" s="15" t="s">
        <v>33</v>
      </c>
      <c r="C18" s="15">
        <v>4400905</v>
      </c>
      <c r="D18" s="15" t="s">
        <v>41</v>
      </c>
      <c r="E18" s="15" t="s">
        <v>42</v>
      </c>
    </row>
    <row r="19" spans="1:5" ht="45" x14ac:dyDescent="0.25">
      <c r="A19" s="15">
        <v>44009</v>
      </c>
      <c r="B19" s="15" t="s">
        <v>33</v>
      </c>
      <c r="C19" s="15">
        <v>4400906</v>
      </c>
      <c r="D19" s="15" t="s">
        <v>43</v>
      </c>
      <c r="E19" s="15" t="s">
        <v>110</v>
      </c>
    </row>
    <row r="20" spans="1:5" ht="75" x14ac:dyDescent="0.25">
      <c r="A20" s="15">
        <v>44009</v>
      </c>
      <c r="B20" s="15" t="s">
        <v>33</v>
      </c>
      <c r="C20" s="15">
        <v>4400906</v>
      </c>
      <c r="D20" s="15" t="s">
        <v>45</v>
      </c>
      <c r="E20" s="15" t="s">
        <v>46</v>
      </c>
    </row>
    <row r="21" spans="1:5" ht="30" x14ac:dyDescent="0.25">
      <c r="A21" s="4">
        <v>44010</v>
      </c>
      <c r="B21" s="4" t="s">
        <v>47</v>
      </c>
      <c r="C21" s="4">
        <v>4401001</v>
      </c>
      <c r="D21" s="4"/>
      <c r="E21" s="4" t="s">
        <v>48</v>
      </c>
    </row>
    <row r="22" spans="1:5" ht="45" x14ac:dyDescent="0.25">
      <c r="A22" s="15">
        <v>44013</v>
      </c>
      <c r="B22" s="15" t="s">
        <v>49</v>
      </c>
      <c r="C22" s="15">
        <v>4401301</v>
      </c>
      <c r="D22" s="15" t="s">
        <v>49</v>
      </c>
      <c r="E22" s="15" t="s">
        <v>50</v>
      </c>
    </row>
    <row r="23" spans="1:5" ht="30" x14ac:dyDescent="0.25">
      <c r="A23" s="15">
        <v>44013</v>
      </c>
      <c r="B23" s="15" t="s">
        <v>49</v>
      </c>
      <c r="C23" s="15">
        <v>4401302</v>
      </c>
      <c r="D23" s="15" t="s">
        <v>111</v>
      </c>
      <c r="E23" s="15" t="s">
        <v>112</v>
      </c>
    </row>
    <row r="24" spans="1:5" ht="45" x14ac:dyDescent="0.25">
      <c r="A24" s="4">
        <v>44015</v>
      </c>
      <c r="B24" s="4" t="s">
        <v>51</v>
      </c>
      <c r="C24" s="4">
        <v>4401501</v>
      </c>
      <c r="D24" s="4" t="s">
        <v>51</v>
      </c>
      <c r="E24" s="4" t="s">
        <v>52</v>
      </c>
    </row>
    <row r="25" spans="1:5" ht="30" x14ac:dyDescent="0.25">
      <c r="A25" s="4">
        <v>44015</v>
      </c>
      <c r="B25" s="4" t="s">
        <v>51</v>
      </c>
      <c r="C25" s="4">
        <v>4401502</v>
      </c>
      <c r="D25" s="4" t="s">
        <v>53</v>
      </c>
      <c r="E25" s="4" t="s">
        <v>54</v>
      </c>
    </row>
    <row r="26" spans="1:5" ht="45" x14ac:dyDescent="0.25">
      <c r="A26" s="15">
        <v>44017</v>
      </c>
      <c r="B26" s="15" t="s">
        <v>55</v>
      </c>
      <c r="C26" s="15">
        <v>4401701</v>
      </c>
      <c r="D26" s="15" t="s">
        <v>56</v>
      </c>
      <c r="E26" s="15" t="s">
        <v>57</v>
      </c>
    </row>
    <row r="27" spans="1:5" x14ac:dyDescent="0.25">
      <c r="A27" s="15">
        <v>44017</v>
      </c>
      <c r="B27" s="15" t="s">
        <v>55</v>
      </c>
      <c r="C27" s="15">
        <v>4401702</v>
      </c>
      <c r="D27" s="15" t="s">
        <v>58</v>
      </c>
      <c r="E27" s="15" t="s">
        <v>59</v>
      </c>
    </row>
    <row r="28" spans="1:5" ht="30" x14ac:dyDescent="0.25">
      <c r="A28" s="22">
        <v>44018</v>
      </c>
      <c r="B28" s="22" t="s">
        <v>113</v>
      </c>
      <c r="C28" s="22">
        <v>44018</v>
      </c>
      <c r="D28" s="22"/>
      <c r="E28" s="22"/>
    </row>
    <row r="29" spans="1:5" ht="30" x14ac:dyDescent="0.25">
      <c r="A29" s="23">
        <v>46014</v>
      </c>
      <c r="B29" s="23" t="s">
        <v>60</v>
      </c>
      <c r="C29" s="23">
        <v>4601401</v>
      </c>
      <c r="D29" s="23" t="s">
        <v>61</v>
      </c>
      <c r="E29" s="23" t="s">
        <v>62</v>
      </c>
    </row>
    <row r="30" spans="1:5" ht="60" x14ac:dyDescent="0.25">
      <c r="A30" s="23">
        <v>46014</v>
      </c>
      <c r="B30" s="23" t="s">
        <v>60</v>
      </c>
      <c r="C30" s="23">
        <v>4601402</v>
      </c>
      <c r="D30" s="23" t="s">
        <v>63</v>
      </c>
      <c r="E30" s="24" t="s">
        <v>64</v>
      </c>
    </row>
    <row r="31" spans="1:5" ht="90" x14ac:dyDescent="0.25">
      <c r="A31" s="23">
        <v>46014</v>
      </c>
      <c r="B31" s="23" t="s">
        <v>60</v>
      </c>
      <c r="C31" s="23">
        <v>4601403</v>
      </c>
      <c r="D31" s="23" t="s">
        <v>114</v>
      </c>
      <c r="E31" s="24" t="s">
        <v>115</v>
      </c>
    </row>
    <row r="32" spans="1:5" ht="45" x14ac:dyDescent="0.25">
      <c r="A32" s="23">
        <v>46014</v>
      </c>
      <c r="B32" s="23" t="s">
        <v>60</v>
      </c>
      <c r="C32" s="23">
        <v>4601404</v>
      </c>
      <c r="D32" s="23" t="s">
        <v>116</v>
      </c>
      <c r="E32" s="24" t="s">
        <v>117</v>
      </c>
    </row>
    <row r="33" spans="1:9" ht="30" x14ac:dyDescent="0.25">
      <c r="A33" s="23">
        <v>46014</v>
      </c>
      <c r="B33" s="23" t="s">
        <v>60</v>
      </c>
      <c r="C33" s="23">
        <v>4601405</v>
      </c>
      <c r="D33" s="23" t="s">
        <v>204</v>
      </c>
      <c r="E33" s="24" t="s">
        <v>205</v>
      </c>
    </row>
    <row r="34" spans="1:9" ht="30" x14ac:dyDescent="0.25">
      <c r="A34" s="23">
        <v>46014</v>
      </c>
      <c r="B34" s="23" t="s">
        <v>60</v>
      </c>
      <c r="C34" s="23">
        <v>4601406</v>
      </c>
      <c r="D34" s="23" t="s">
        <v>118</v>
      </c>
      <c r="E34" s="24" t="s">
        <v>119</v>
      </c>
    </row>
    <row r="35" spans="1:9" ht="30" x14ac:dyDescent="0.25">
      <c r="A35" s="14">
        <v>20265</v>
      </c>
      <c r="B35" s="13" t="s">
        <v>120</v>
      </c>
      <c r="C35" s="14">
        <v>2026501</v>
      </c>
      <c r="D35" s="30" t="s">
        <v>121</v>
      </c>
      <c r="E35" s="7"/>
    </row>
    <row r="36" spans="1:9" ht="30" x14ac:dyDescent="0.25">
      <c r="A36" s="17">
        <v>50069</v>
      </c>
      <c r="B36" s="17" t="s">
        <v>122</v>
      </c>
      <c r="C36" s="17">
        <v>5006901</v>
      </c>
      <c r="D36" s="17" t="s">
        <v>123</v>
      </c>
      <c r="E36" s="17"/>
    </row>
    <row r="37" spans="1:9" ht="30" x14ac:dyDescent="0.25">
      <c r="A37" s="17">
        <v>50069</v>
      </c>
      <c r="B37" s="17" t="s">
        <v>122</v>
      </c>
      <c r="C37" s="17">
        <v>5006902</v>
      </c>
      <c r="D37" s="17" t="s">
        <v>124</v>
      </c>
      <c r="E37" s="17"/>
      <c r="I37">
        <f>(342/75)*100</f>
        <v>455.99999999999994</v>
      </c>
    </row>
    <row r="38" spans="1:9" ht="30" x14ac:dyDescent="0.25">
      <c r="A38" s="7">
        <v>20282</v>
      </c>
      <c r="B38" s="7" t="s">
        <v>125</v>
      </c>
      <c r="C38" s="7">
        <v>2028201</v>
      </c>
      <c r="D38" s="7" t="s">
        <v>126</v>
      </c>
      <c r="E38" s="7" t="s">
        <v>127</v>
      </c>
    </row>
    <row r="39" spans="1:9" ht="30" x14ac:dyDescent="0.25">
      <c r="A39" s="17">
        <v>20293</v>
      </c>
      <c r="B39" s="18" t="s">
        <v>128</v>
      </c>
      <c r="C39" s="19" t="s">
        <v>129</v>
      </c>
      <c r="D39" s="17" t="s">
        <v>130</v>
      </c>
      <c r="E39" s="17" t="s">
        <v>131</v>
      </c>
    </row>
    <row r="40" spans="1:9" ht="30" x14ac:dyDescent="0.25">
      <c r="A40" s="19">
        <v>20293</v>
      </c>
      <c r="B40" s="18" t="s">
        <v>128</v>
      </c>
      <c r="C40" s="19">
        <v>2029302</v>
      </c>
      <c r="D40" s="17" t="s">
        <v>132</v>
      </c>
      <c r="E40" s="17" t="s">
        <v>133</v>
      </c>
    </row>
    <row r="41" spans="1:9" ht="30" x14ac:dyDescent="0.25">
      <c r="A41" s="19">
        <v>20293</v>
      </c>
      <c r="B41" s="20" t="s">
        <v>128</v>
      </c>
      <c r="C41" s="21">
        <v>2029303</v>
      </c>
      <c r="D41" s="17" t="s">
        <v>134</v>
      </c>
      <c r="E41" s="17" t="s">
        <v>135</v>
      </c>
    </row>
    <row r="42" spans="1:9" ht="30" x14ac:dyDescent="0.25">
      <c r="A42" s="19">
        <v>20293</v>
      </c>
      <c r="B42" s="18" t="s">
        <v>128</v>
      </c>
      <c r="C42" s="19">
        <v>2029304</v>
      </c>
      <c r="D42" s="17" t="s">
        <v>136</v>
      </c>
      <c r="E42" s="17" t="s">
        <v>137</v>
      </c>
    </row>
    <row r="43" spans="1:9" x14ac:dyDescent="0.25">
      <c r="A43" s="7">
        <v>60042</v>
      </c>
      <c r="B43" s="7" t="s">
        <v>138</v>
      </c>
      <c r="C43" s="7">
        <v>6004201</v>
      </c>
      <c r="D43" s="7" t="s">
        <v>139</v>
      </c>
      <c r="E43" s="7"/>
    </row>
    <row r="44" spans="1:9" x14ac:dyDescent="0.25">
      <c r="A44" s="7">
        <v>60042</v>
      </c>
      <c r="B44" s="7" t="s">
        <v>138</v>
      </c>
      <c r="C44" s="7">
        <v>6004202</v>
      </c>
      <c r="D44" s="7" t="s">
        <v>140</v>
      </c>
      <c r="E44" s="7"/>
    </row>
    <row r="45" spans="1:9" x14ac:dyDescent="0.25">
      <c r="A45" s="25">
        <v>20335</v>
      </c>
      <c r="B45" s="25" t="s">
        <v>141</v>
      </c>
      <c r="C45" s="25">
        <v>2033501</v>
      </c>
      <c r="D45" s="26" t="s">
        <v>142</v>
      </c>
      <c r="E45" s="25" t="s">
        <v>143</v>
      </c>
    </row>
    <row r="46" spans="1:9" x14ac:dyDescent="0.25">
      <c r="A46" s="7">
        <v>50081</v>
      </c>
      <c r="B46" s="7" t="s">
        <v>144</v>
      </c>
      <c r="C46" s="7">
        <v>5008101</v>
      </c>
      <c r="D46" s="7"/>
      <c r="E46" s="7"/>
    </row>
    <row r="47" spans="1:9" ht="30" x14ac:dyDescent="0.25">
      <c r="A47" s="25">
        <v>60002</v>
      </c>
      <c r="B47" s="25" t="s">
        <v>145</v>
      </c>
      <c r="C47" s="25">
        <v>6000201</v>
      </c>
      <c r="D47" s="25" t="s">
        <v>146</v>
      </c>
      <c r="E47" s="25" t="s">
        <v>145</v>
      </c>
    </row>
    <row r="48" spans="1:9" ht="30" x14ac:dyDescent="0.25">
      <c r="A48" s="25">
        <v>60002</v>
      </c>
      <c r="B48" s="25" t="s">
        <v>147</v>
      </c>
      <c r="C48" s="25">
        <v>6000202</v>
      </c>
      <c r="D48" s="25" t="s">
        <v>146</v>
      </c>
      <c r="E48" s="25" t="s">
        <v>148</v>
      </c>
    </row>
    <row r="49" spans="1:6" ht="30" x14ac:dyDescent="0.25">
      <c r="A49" s="7">
        <v>60003</v>
      </c>
      <c r="B49" s="7" t="s">
        <v>149</v>
      </c>
      <c r="C49" s="7">
        <v>6000303</v>
      </c>
      <c r="D49" s="7"/>
      <c r="E49" s="7" t="s">
        <v>150</v>
      </c>
    </row>
    <row r="50" spans="1:6" ht="30" x14ac:dyDescent="0.25">
      <c r="A50" s="27">
        <v>30218</v>
      </c>
      <c r="B50" s="27" t="s">
        <v>151</v>
      </c>
      <c r="C50" s="28">
        <v>3021801</v>
      </c>
      <c r="D50" s="27" t="s">
        <v>152</v>
      </c>
      <c r="E50" s="27" t="s">
        <v>153</v>
      </c>
    </row>
    <row r="51" spans="1:6" ht="30" x14ac:dyDescent="0.25">
      <c r="A51" s="11">
        <v>20023</v>
      </c>
      <c r="B51" s="12" t="s">
        <v>154</v>
      </c>
      <c r="C51" s="11">
        <v>2002302</v>
      </c>
      <c r="D51" s="12" t="s">
        <v>155</v>
      </c>
      <c r="E51" s="12" t="s">
        <v>156</v>
      </c>
      <c r="F51" s="13"/>
    </row>
    <row r="52" spans="1:6" x14ac:dyDescent="0.25">
      <c r="A52" s="11">
        <v>30006</v>
      </c>
      <c r="B52" s="12" t="s">
        <v>157</v>
      </c>
      <c r="C52" s="11">
        <v>3000601</v>
      </c>
      <c r="D52" s="12" t="s">
        <v>157</v>
      </c>
      <c r="E52" s="12" t="s">
        <v>158</v>
      </c>
      <c r="F52" s="13"/>
    </row>
    <row r="53" spans="1:6" ht="90" x14ac:dyDescent="0.25">
      <c r="A53" s="11">
        <v>30049</v>
      </c>
      <c r="B53" s="12" t="s">
        <v>159</v>
      </c>
      <c r="C53" s="11">
        <v>3004901</v>
      </c>
      <c r="D53" s="12" t="s">
        <v>159</v>
      </c>
      <c r="E53" s="12" t="s">
        <v>160</v>
      </c>
      <c r="F53" s="6" t="s">
        <v>161</v>
      </c>
    </row>
    <row r="54" spans="1:6" ht="90" x14ac:dyDescent="0.25">
      <c r="A54" s="11">
        <v>30074</v>
      </c>
      <c r="B54" s="12" t="s">
        <v>162</v>
      </c>
      <c r="C54" s="11">
        <v>3007401</v>
      </c>
      <c r="D54" s="12" t="s">
        <v>162</v>
      </c>
      <c r="E54" s="12" t="s">
        <v>163</v>
      </c>
      <c r="F54" s="13"/>
    </row>
    <row r="55" spans="1:6" ht="90" x14ac:dyDescent="0.25">
      <c r="A55" s="11">
        <v>30076</v>
      </c>
      <c r="B55" s="12" t="s">
        <v>164</v>
      </c>
      <c r="C55" s="11">
        <v>3007601</v>
      </c>
      <c r="D55" s="12" t="s">
        <v>164</v>
      </c>
      <c r="E55" s="12" t="s">
        <v>165</v>
      </c>
      <c r="F55" s="13"/>
    </row>
    <row r="56" spans="1:6" ht="105" x14ac:dyDescent="0.25">
      <c r="A56" s="11">
        <v>30078</v>
      </c>
      <c r="B56" s="12" t="s">
        <v>166</v>
      </c>
      <c r="C56" s="11">
        <v>3007801</v>
      </c>
      <c r="D56" s="12" t="s">
        <v>166</v>
      </c>
      <c r="E56" s="12" t="s">
        <v>167</v>
      </c>
      <c r="F56" s="13"/>
    </row>
    <row r="57" spans="1:6" ht="60" x14ac:dyDescent="0.25">
      <c r="A57" s="11">
        <v>50002</v>
      </c>
      <c r="B57" s="12" t="s">
        <v>168</v>
      </c>
      <c r="C57" s="11">
        <v>5000201</v>
      </c>
      <c r="D57" s="12" t="s">
        <v>169</v>
      </c>
      <c r="E57" s="12" t="s">
        <v>170</v>
      </c>
      <c r="F57" s="13"/>
    </row>
    <row r="58" spans="1:6" ht="90" x14ac:dyDescent="0.25">
      <c r="A58" s="11">
        <v>50002</v>
      </c>
      <c r="B58" s="12" t="s">
        <v>168</v>
      </c>
      <c r="C58" s="11">
        <v>5000202</v>
      </c>
      <c r="D58" s="12" t="s">
        <v>171</v>
      </c>
      <c r="E58" s="12" t="s">
        <v>172</v>
      </c>
      <c r="F58" s="13"/>
    </row>
    <row r="59" spans="1:6" ht="45" x14ac:dyDescent="0.25">
      <c r="A59" s="11">
        <v>50006</v>
      </c>
      <c r="B59" s="12" t="s">
        <v>173</v>
      </c>
      <c r="C59" s="11">
        <v>5000601</v>
      </c>
      <c r="D59" s="12" t="s">
        <v>174</v>
      </c>
      <c r="E59" s="12" t="s">
        <v>175</v>
      </c>
      <c r="F59" s="13"/>
    </row>
    <row r="60" spans="1:6" ht="60" x14ac:dyDescent="0.25">
      <c r="A60" s="11">
        <v>50006</v>
      </c>
      <c r="B60" s="12" t="s">
        <v>173</v>
      </c>
      <c r="C60" s="11">
        <v>5000602</v>
      </c>
      <c r="D60" s="12" t="s">
        <v>176</v>
      </c>
      <c r="E60" s="12" t="s">
        <v>177</v>
      </c>
      <c r="F60" s="13"/>
    </row>
    <row r="61" spans="1:6" ht="75" x14ac:dyDescent="0.25">
      <c r="A61" s="11">
        <v>50007</v>
      </c>
      <c r="B61" s="12" t="s">
        <v>178</v>
      </c>
      <c r="C61" s="11">
        <v>5000701</v>
      </c>
      <c r="D61" s="12" t="s">
        <v>178</v>
      </c>
      <c r="E61" s="12" t="s">
        <v>179</v>
      </c>
      <c r="F61" s="13"/>
    </row>
    <row r="62" spans="1:6" ht="45" x14ac:dyDescent="0.25">
      <c r="A62" s="11">
        <v>50046</v>
      </c>
      <c r="B62" s="12" t="s">
        <v>180</v>
      </c>
      <c r="C62" s="11">
        <v>5004601</v>
      </c>
      <c r="D62" s="12" t="s">
        <v>180</v>
      </c>
      <c r="E62" s="12" t="s">
        <v>181</v>
      </c>
      <c r="F62" s="13"/>
    </row>
    <row r="63" spans="1:6" ht="30" x14ac:dyDescent="0.25">
      <c r="A63" s="11">
        <v>60003</v>
      </c>
      <c r="B63" s="12" t="s">
        <v>182</v>
      </c>
      <c r="C63" s="11">
        <v>6000301</v>
      </c>
      <c r="D63" s="12" t="s">
        <v>183</v>
      </c>
      <c r="E63" s="12" t="s">
        <v>184</v>
      </c>
      <c r="F63" s="13"/>
    </row>
    <row r="64" spans="1:6" ht="45" x14ac:dyDescent="0.25">
      <c r="A64" s="11">
        <v>60008</v>
      </c>
      <c r="B64" s="12" t="s">
        <v>185</v>
      </c>
      <c r="C64" s="11">
        <v>6000801</v>
      </c>
      <c r="D64" s="12" t="s">
        <v>185</v>
      </c>
      <c r="E64" s="12" t="s">
        <v>186</v>
      </c>
      <c r="F64" s="13"/>
    </row>
    <row r="65" spans="1:6" ht="45" x14ac:dyDescent="0.25">
      <c r="A65" s="11">
        <v>60009</v>
      </c>
      <c r="B65" s="12" t="s">
        <v>187</v>
      </c>
      <c r="C65" s="11">
        <v>6000901</v>
      </c>
      <c r="D65" s="12" t="s">
        <v>187</v>
      </c>
      <c r="E65" s="12" t="s">
        <v>188</v>
      </c>
      <c r="F65" s="13"/>
    </row>
    <row r="66" spans="1:6" ht="90" x14ac:dyDescent="0.25">
      <c r="A66" s="11">
        <v>60010</v>
      </c>
      <c r="B66" s="12" t="s">
        <v>189</v>
      </c>
      <c r="C66" s="11">
        <v>6001001</v>
      </c>
      <c r="D66" s="12" t="s">
        <v>189</v>
      </c>
      <c r="E66" s="12" t="s">
        <v>190</v>
      </c>
      <c r="F66" s="13"/>
    </row>
    <row r="67" spans="1:6" ht="60" x14ac:dyDescent="0.25">
      <c r="A67" s="11">
        <v>60011</v>
      </c>
      <c r="B67" s="12" t="s">
        <v>191</v>
      </c>
      <c r="C67" s="11">
        <v>6001101</v>
      </c>
      <c r="D67" s="12" t="s">
        <v>191</v>
      </c>
      <c r="E67" s="12" t="s">
        <v>192</v>
      </c>
      <c r="F67" s="13"/>
    </row>
    <row r="68" spans="1:6" ht="90" x14ac:dyDescent="0.25">
      <c r="A68" s="11">
        <v>60012</v>
      </c>
      <c r="B68" s="12" t="s">
        <v>193</v>
      </c>
      <c r="C68" s="11">
        <v>6001201</v>
      </c>
      <c r="D68" s="12" t="s">
        <v>193</v>
      </c>
      <c r="E68" s="12" t="s">
        <v>194</v>
      </c>
      <c r="F68" s="13"/>
    </row>
    <row r="69" spans="1:6" x14ac:dyDescent="0.25">
      <c r="A69" s="2">
        <v>50081</v>
      </c>
      <c r="B69" s="2" t="s">
        <v>144</v>
      </c>
      <c r="C69" s="2">
        <v>500811</v>
      </c>
      <c r="D69" s="2"/>
      <c r="E69" s="2"/>
    </row>
    <row r="70" spans="1:6" ht="75" x14ac:dyDescent="0.25">
      <c r="A70" s="8">
        <v>44007</v>
      </c>
      <c r="B70" s="6" t="s">
        <v>20</v>
      </c>
      <c r="C70" s="8">
        <v>4400701</v>
      </c>
      <c r="D70" s="6" t="s">
        <v>195</v>
      </c>
      <c r="E70" s="6" t="s">
        <v>196</v>
      </c>
      <c r="F70" s="6" t="s">
        <v>197</v>
      </c>
    </row>
    <row r="71" spans="1:6" ht="30" x14ac:dyDescent="0.25">
      <c r="A71" s="9" t="s">
        <v>198</v>
      </c>
      <c r="B71" s="10" t="s">
        <v>173</v>
      </c>
      <c r="C71" s="6">
        <v>5000601</v>
      </c>
      <c r="D71" s="10" t="s">
        <v>174</v>
      </c>
      <c r="E71" s="12" t="s">
        <v>199</v>
      </c>
      <c r="F71" s="6"/>
    </row>
    <row r="72" spans="1:6" ht="30" x14ac:dyDescent="0.25">
      <c r="A72" s="9" t="s">
        <v>198</v>
      </c>
      <c r="B72" s="10" t="s">
        <v>173</v>
      </c>
      <c r="C72" s="6">
        <v>5000602</v>
      </c>
      <c r="D72" s="10" t="s">
        <v>176</v>
      </c>
      <c r="E72" s="6" t="s">
        <v>200</v>
      </c>
      <c r="F72" s="6"/>
    </row>
    <row r="73" spans="1:6" ht="30" x14ac:dyDescent="0.25">
      <c r="A73" s="9" t="s">
        <v>201</v>
      </c>
      <c r="B73" s="10" t="s">
        <v>202</v>
      </c>
      <c r="C73" s="6">
        <v>6001301</v>
      </c>
      <c r="D73" s="10" t="s">
        <v>202</v>
      </c>
      <c r="E73" s="6" t="s">
        <v>203</v>
      </c>
      <c r="F73" s="6"/>
    </row>
  </sheetData>
  <pageMargins left="0.7" right="0.7" top="0.75" bottom="0.75" header="0.3" footer="0.3"/>
  <pageSetup paperSize="9" scale="41" fitToHeight="0"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bb68e0a-982a-46c0-8d12-463949912f80" xsi:nil="true"/>
    <lcf76f155ced4ddcb4097134ff3c332f xmlns="20abd0ba-d5dd-4356-b9a5-9149297c58a5">
      <Terms xmlns="http://schemas.microsoft.com/office/infopath/2007/PartnerControls"/>
    </lcf76f155ced4ddcb4097134ff3c332f>
    <SharedWithUsers xmlns="4bb68e0a-982a-46c0-8d12-463949912f80">
      <UserInfo>
        <DisplayName>S811 Members</DisplayName>
        <AccountId>7</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B789E6A8EDECA4D9B96DA508B33CA31" ma:contentTypeVersion="21" ma:contentTypeDescription="Create a new document." ma:contentTypeScope="" ma:versionID="bdc80839b97ab8b4d3bd2ed5c288aa08">
  <xsd:schema xmlns:xsd="http://www.w3.org/2001/XMLSchema" xmlns:xs="http://www.w3.org/2001/XMLSchema" xmlns:p="http://schemas.microsoft.com/office/2006/metadata/properties" xmlns:ns2="20abd0ba-d5dd-4356-b9a5-9149297c58a5" xmlns:ns3="4bb68e0a-982a-46c0-8d12-463949912f80" targetNamespace="http://schemas.microsoft.com/office/2006/metadata/properties" ma:root="true" ma:fieldsID="8e41502e46ce7e409812e9bd1c29d329" ns2:_="" ns3:_="">
    <xsd:import namespace="20abd0ba-d5dd-4356-b9a5-9149297c58a5"/>
    <xsd:import namespace="4bb68e0a-982a-46c0-8d12-463949912f8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abd0ba-d5dd-4356-b9a5-9149297c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4d9a8a8-1b53-4324-a4e9-ed20d3a5e1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b68e0a-982a-46c0-8d12-463949912f8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1550704-fd34-439f-b7e6-d37118d87a81}" ma:internalName="TaxCatchAll" ma:showField="CatchAllData" ma:web="4bb68e0a-982a-46c0-8d12-463949912f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9FD0D1-3924-4563-A796-CA8F3D627FAA}">
  <ds:schemaRefs>
    <ds:schemaRef ds:uri="http://schemas.microsoft.com/office/2006/metadata/properties"/>
    <ds:schemaRef ds:uri="http://purl.org/dc/dcmitype/"/>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elements/1.1/"/>
    <ds:schemaRef ds:uri="4bb68e0a-982a-46c0-8d12-463949912f80"/>
    <ds:schemaRef ds:uri="20abd0ba-d5dd-4356-b9a5-9149297c58a5"/>
    <ds:schemaRef ds:uri="http://purl.org/dc/terms/"/>
  </ds:schemaRefs>
</ds:datastoreItem>
</file>

<file path=customXml/itemProps2.xml><?xml version="1.0" encoding="utf-8"?>
<ds:datastoreItem xmlns:ds="http://schemas.openxmlformats.org/officeDocument/2006/customXml" ds:itemID="{831595B0-30C3-4EB0-9A51-FE9D1ED6C2F2}">
  <ds:schemaRefs>
    <ds:schemaRef ds:uri="http://schemas.microsoft.com/sharepoint/v3/contenttype/forms"/>
  </ds:schemaRefs>
</ds:datastoreItem>
</file>

<file path=customXml/itemProps3.xml><?xml version="1.0" encoding="utf-8"?>
<ds:datastoreItem xmlns:ds="http://schemas.openxmlformats.org/officeDocument/2006/customXml" ds:itemID="{3A16EAFE-38BC-4D3A-BF4B-851A962DCF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abd0ba-d5dd-4356-b9a5-9149297c58a5"/>
    <ds:schemaRef ds:uri="4bb68e0a-982a-46c0-8d12-463949912f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Arbeidsordre S811</vt:lpstr>
      <vt:lpstr>Statistikk</vt:lpstr>
      <vt:lpstr>Arbeidsordre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Fosen, Johan</dc:creator>
  <cp:keywords/>
  <dc:description/>
  <cp:lastModifiedBy>Bringsvor, Ingrid</cp:lastModifiedBy>
  <cp:revision/>
  <dcterms:created xsi:type="dcterms:W3CDTF">2021-09-03T11:04:01Z</dcterms:created>
  <dcterms:modified xsi:type="dcterms:W3CDTF">2026-09-28T10:59:42Z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0x0101002B789E6A8EDECA4D9B96DA508B33CA31</vt:lpwstr>
  </property>
  <property fmtid="{D5CDD505-2E9C-101B-9397-08002B2CF9AE}" pid="3" name="MediaServiceImageTags">
    <vt:lpwstr/>
  </property>
</Properties>
</file>